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EngineFundStaff/Downloads/"/>
    </mc:Choice>
  </mc:AlternateContent>
  <xr:revisionPtr revIDLastSave="0" documentId="13_ncr:1_{E3A870A1-7A99-1B4A-90C8-622039242976}" xr6:coauthVersionLast="47" xr6:coauthVersionMax="47" xr10:uidLastSave="{00000000-0000-0000-0000-000000000000}"/>
  <bookViews>
    <workbookView xWindow="0" yWindow="760" windowWidth="25080" windowHeight="14640" tabRatio="500" activeTab="5" xr2:uid="{00000000-000D-0000-FFFF-FFFF00000000}"/>
  </bookViews>
  <sheets>
    <sheet name="Nimbus Robotics" sheetId="1" r:id="rId1"/>
    <sheet name="Verdant Bio" sheetId="2" r:id="rId2"/>
    <sheet name="Fathom Analytics" sheetId="3" r:id="rId3"/>
    <sheet name="Ridgeline Materials" sheetId="4" r:id="rId4"/>
    <sheet name="Halcyon Health" sheetId="5" r:id="rId5"/>
    <sheet name="Portfolio Notes" sheetId="6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5" l="1"/>
  <c r="G3" i="5"/>
  <c r="G4" i="5"/>
  <c r="G2" i="5"/>
</calcChain>
</file>

<file path=xl/sharedStrings.xml><?xml version="1.0" encoding="utf-8"?>
<sst xmlns="http://schemas.openxmlformats.org/spreadsheetml/2006/main" count="83" uniqueCount="34">
  <si>
    <t>Round</t>
  </si>
  <si>
    <t>Date</t>
  </si>
  <si>
    <t>Amount Raised</t>
  </si>
  <si>
    <t>Pre-Money</t>
  </si>
  <si>
    <t>Post-Money</t>
  </si>
  <si>
    <t>Price/Share</t>
  </si>
  <si>
    <t>Ownership %</t>
  </si>
  <si>
    <t>Shares Post-Round</t>
  </si>
  <si>
    <t>Pre-Seed SAFE</t>
  </si>
  <si>
    <t>Seed</t>
  </si>
  <si>
    <t>Series A</t>
  </si>
  <si>
    <t>Series A-2</t>
  </si>
  <si>
    <t>Series A2</t>
  </si>
  <si>
    <t>Bridge Note</t>
  </si>
  <si>
    <t>Series B</t>
  </si>
  <si>
    <t>TBD 2027</t>
  </si>
  <si>
    <t>Note: Series B pricing not finalized as of last IC update.</t>
  </si>
  <si>
    <t>Scenario: Continue Pro-Rata Participation</t>
  </si>
  <si>
    <t>Series C</t>
  </si>
  <si>
    <t>Scenario: Pause Investing After Series B</t>
  </si>
  <si>
    <t>Note: Series C ownership % in the 'pause' scenario reflects dilution only - no further capital deployed.</t>
  </si>
  <si>
    <t>Pre-Seed</t>
  </si>
  <si>
    <t>SAFE 1</t>
  </si>
  <si>
    <t>SAFE 2</t>
  </si>
  <si>
    <t>Note: Amount Raised in $000s. Series B amount raised entered as negative - confirm with deal team, likely data entry error.</t>
  </si>
  <si>
    <t>Note: two Series A rows above came from different sources during last data pull; not yet reconciled.</t>
  </si>
  <si>
    <t>Raw notes pasted from deal team Slack / email - not yet entered into tracker</t>
  </si>
  <si>
    <t>nimbus robotics - bridge note closed 8/1/24, $2.0M, existing investors only</t>
  </si>
  <si>
    <t>Fathom Analytics Inc. Series B - closed June 2025, $22M raised, post money ~$92M</t>
  </si>
  <si>
    <t>Verdant Bio Series C round pushed back a quarter, expected close now Q2 2025 not Q1</t>
  </si>
  <si>
    <t>RIDGELINE MATERIALS: heads up the Series B amount raised in the model is showing negative - typo, should be $22,000 (in thousands)</t>
  </si>
  <si>
    <t>halcyon health series A - which number is right, 9.0M or 9.5M? need to confirm w/ finance before board deck</t>
  </si>
  <si>
    <t>New SAFE - Fathom Analytics, $1.2M, dated 1/10/22 -- wait, is this the same as the Pre-Seed row already in the tracker? looks like it</t>
  </si>
  <si>
    <t>Nimbus Robotics Series B still not priced, IC guidance is ~$135M post but nothing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</si>
</sst>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:mm:ss"/>
    <numFmt numFmtId="166" formatCode="_(&quot;$&quot;* #,##0_);_(&quot;$&quot;* \(#,##0\);_(&quot;$&quot;* &quot;-&quot;??_);_(@_)"/>
    <numFmt numFmtId="169" formatCode="_(* #,##0_);_(* \(#,##0\);_(* &quot;-&quot;??_);_(@_)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2" fillId="0" borderId="0" xfId="0" applyFont="1"/>
    <xf numFmtId="0" fontId="5" fillId="0" borderId="0" xfId="0" applyFont="1"/>
    <xf numFmtId="166" fontId="1" fillId="0" borderId="0" xfId="2" applyNumberFormat="1"/>
    <xf numFmtId="166" fontId="0" fillId="0" borderId="0" xfId="0" applyNumberFormat="1"/>
    <xf numFmtId="9" fontId="1" fillId="0" borderId="0" xfId="3"/>
    <xf numFmtId="10" fontId="1" fillId="0" borderId="0" xfId="3" applyNumberFormat="1"/>
    <xf numFmtId="169" fontId="1" fillId="0" borderId="0" xfId="1" applyNumberFormat="1"/>
    <xf numFmtId="9" fontId="1" fillId="0" borderId="0" xfId="3" applyNumberFormat="1"/>
    <xf numFmtId="9" fontId="0" fillId="0" borderId="0" xfId="0" applyNumberFormat="1"/>
    <xf numFmtId="44" fontId="1" fillId="0" borderId="0" xfId="2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G4" sqref="G4"/>
    </sheetView>
  </sheetViews>
  <sheetFormatPr baseColWidth="10" defaultColWidth="8.6640625" defaultRowHeight="15" x14ac:dyDescent="0.2"/>
  <cols>
    <col min="1" max="1" width="20" customWidth="1"/>
    <col min="2" max="2" width="17.1640625" bestFit="1" customWidth="1"/>
    <col min="3" max="5" width="14" customWidth="1"/>
    <col min="6" max="7" width="12" customWidth="1"/>
    <col min="8" max="8" width="1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>
        <v>44267</v>
      </c>
      <c r="C2" s="7">
        <v>500000</v>
      </c>
      <c r="D2" s="7"/>
      <c r="E2" s="7"/>
      <c r="F2" s="7"/>
      <c r="G2" s="10"/>
      <c r="H2" s="11"/>
    </row>
    <row r="3" spans="1:8" x14ac:dyDescent="0.2">
      <c r="A3" s="2" t="s">
        <v>9</v>
      </c>
      <c r="B3" s="3">
        <v>44504</v>
      </c>
      <c r="C3" s="7">
        <v>3200000</v>
      </c>
      <c r="D3" s="7">
        <v>9000000</v>
      </c>
      <c r="E3" s="7">
        <v>12200000</v>
      </c>
      <c r="F3" s="14">
        <v>1.05</v>
      </c>
      <c r="G3" s="12">
        <v>0.26229999999999998</v>
      </c>
      <c r="H3" s="11">
        <v>11619047</v>
      </c>
    </row>
    <row r="4" spans="1:8" x14ac:dyDescent="0.2">
      <c r="A4" s="2" t="s">
        <v>10</v>
      </c>
      <c r="B4" s="3">
        <v>44834</v>
      </c>
      <c r="C4" s="7">
        <v>11000000</v>
      </c>
      <c r="D4" s="7">
        <v>40000000</v>
      </c>
      <c r="E4" s="7">
        <v>51000000</v>
      </c>
      <c r="F4" s="14">
        <v>3.4</v>
      </c>
      <c r="G4" s="12">
        <v>0.2157</v>
      </c>
      <c r="H4" s="11">
        <v>15000000</v>
      </c>
    </row>
    <row r="5" spans="1:8" x14ac:dyDescent="0.2">
      <c r="A5" s="2" t="s">
        <v>11</v>
      </c>
      <c r="B5" s="3">
        <v>45068</v>
      </c>
      <c r="C5" s="7">
        <v>4000000</v>
      </c>
      <c r="D5" s="7">
        <v>51000000</v>
      </c>
      <c r="E5" s="7">
        <v>55000000</v>
      </c>
      <c r="F5" s="14">
        <v>3.67</v>
      </c>
      <c r="G5" s="12">
        <v>7.2700000000000001E-2</v>
      </c>
      <c r="H5" s="11">
        <v>15000000</v>
      </c>
    </row>
    <row r="6" spans="1:8" x14ac:dyDescent="0.2">
      <c r="A6" s="2" t="s">
        <v>12</v>
      </c>
      <c r="B6" s="3">
        <v>45068</v>
      </c>
      <c r="C6" s="7">
        <v>4500000</v>
      </c>
      <c r="D6" s="7">
        <v>51000000</v>
      </c>
      <c r="E6" s="7">
        <v>55500000</v>
      </c>
      <c r="F6" s="14">
        <v>3.7</v>
      </c>
      <c r="G6" s="12">
        <v>8.1100000000000005E-2</v>
      </c>
      <c r="H6" s="11">
        <v>15000000</v>
      </c>
    </row>
    <row r="7" spans="1:8" x14ac:dyDescent="0.2">
      <c r="A7" s="2" t="s">
        <v>13</v>
      </c>
      <c r="B7" s="3">
        <v>45505</v>
      </c>
      <c r="C7" s="7">
        <v>2000000</v>
      </c>
      <c r="D7" s="7"/>
      <c r="E7" s="7"/>
      <c r="F7" s="14"/>
      <c r="G7" s="13"/>
    </row>
    <row r="8" spans="1:8" x14ac:dyDescent="0.2">
      <c r="A8" s="2" t="s">
        <v>14</v>
      </c>
      <c r="B8" s="2" t="s">
        <v>15</v>
      </c>
      <c r="C8" s="7">
        <v>25000000</v>
      </c>
      <c r="D8" s="7">
        <v>110000000</v>
      </c>
      <c r="E8" s="7">
        <v>135000000</v>
      </c>
      <c r="F8" s="7"/>
    </row>
    <row r="11" spans="1:8" x14ac:dyDescent="0.2">
      <c r="A11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>
      <selection activeCell="F21" sqref="F21"/>
    </sheetView>
  </sheetViews>
  <sheetFormatPr baseColWidth="10" defaultColWidth="8.6640625" defaultRowHeight="15" x14ac:dyDescent="0.2"/>
  <cols>
    <col min="1" max="1" width="28" customWidth="1"/>
    <col min="2" max="2" width="17.1640625" bestFit="1" customWidth="1"/>
    <col min="3" max="5" width="14" customWidth="1"/>
    <col min="6" max="6" width="12" customWidth="1"/>
    <col min="8" max="8" width="12.1640625" bestFit="1" customWidth="1"/>
  </cols>
  <sheetData>
    <row r="1" spans="1:8" x14ac:dyDescent="0.2">
      <c r="A1" s="5" t="s">
        <v>17</v>
      </c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6</v>
      </c>
    </row>
    <row r="4" spans="1:8" x14ac:dyDescent="0.2">
      <c r="A4" s="2" t="s">
        <v>9</v>
      </c>
      <c r="B4" s="3">
        <v>43983</v>
      </c>
      <c r="C4" s="7">
        <v>2000000</v>
      </c>
      <c r="D4" s="7">
        <v>6000000</v>
      </c>
      <c r="E4" s="7">
        <v>8000000</v>
      </c>
      <c r="F4" s="12">
        <v>0.25</v>
      </c>
      <c r="H4" s="8"/>
    </row>
    <row r="5" spans="1:8" x14ac:dyDescent="0.2">
      <c r="A5" s="2" t="s">
        <v>10</v>
      </c>
      <c r="B5" s="3">
        <v>44423</v>
      </c>
      <c r="C5" s="7">
        <v>9000000</v>
      </c>
      <c r="D5" s="7">
        <v>30000000</v>
      </c>
      <c r="E5" s="7">
        <v>39000000</v>
      </c>
      <c r="F5" s="12">
        <v>0.1923</v>
      </c>
      <c r="H5" s="8"/>
    </row>
    <row r="6" spans="1:8" x14ac:dyDescent="0.2">
      <c r="A6" s="2" t="s">
        <v>14</v>
      </c>
      <c r="B6" s="3">
        <v>44967</v>
      </c>
      <c r="C6" s="7">
        <v>20000000</v>
      </c>
      <c r="D6" s="7">
        <v>90000000</v>
      </c>
      <c r="E6" s="7">
        <v>110000000</v>
      </c>
      <c r="F6" s="12">
        <v>7.2700000000000001E-2</v>
      </c>
      <c r="H6" s="8"/>
    </row>
    <row r="7" spans="1:8" x14ac:dyDescent="0.2">
      <c r="A7" s="2" t="s">
        <v>18</v>
      </c>
      <c r="B7" s="3">
        <v>45748</v>
      </c>
      <c r="C7" s="7">
        <v>35000000</v>
      </c>
      <c r="D7" s="7">
        <v>200000000</v>
      </c>
      <c r="E7" s="7">
        <v>235000000</v>
      </c>
      <c r="F7" s="12">
        <v>5.21E-2</v>
      </c>
      <c r="H7" s="8"/>
    </row>
    <row r="8" spans="1:8" x14ac:dyDescent="0.2">
      <c r="F8" s="10"/>
    </row>
    <row r="9" spans="1:8" x14ac:dyDescent="0.2">
      <c r="A9" s="5" t="s">
        <v>19</v>
      </c>
      <c r="F9" s="10"/>
    </row>
    <row r="10" spans="1:8" x14ac:dyDescent="0.2">
      <c r="F10" s="10"/>
    </row>
    <row r="11" spans="1:8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6</v>
      </c>
    </row>
    <row r="12" spans="1:8" x14ac:dyDescent="0.2">
      <c r="A12" s="2" t="s">
        <v>9</v>
      </c>
      <c r="B12" s="3">
        <v>43983</v>
      </c>
      <c r="C12" s="7">
        <v>2000000</v>
      </c>
      <c r="D12" s="7">
        <v>6000000</v>
      </c>
      <c r="E12" s="7">
        <v>8000000</v>
      </c>
      <c r="F12" s="9">
        <v>0.25</v>
      </c>
    </row>
    <row r="13" spans="1:8" x14ac:dyDescent="0.2">
      <c r="A13" s="2" t="s">
        <v>10</v>
      </c>
      <c r="B13" s="3">
        <v>44423</v>
      </c>
      <c r="C13" s="7">
        <v>9000000</v>
      </c>
      <c r="D13" s="7">
        <v>30000000</v>
      </c>
      <c r="E13" s="7">
        <v>39000000</v>
      </c>
      <c r="F13" s="9">
        <v>0.1923</v>
      </c>
    </row>
    <row r="14" spans="1:8" x14ac:dyDescent="0.2">
      <c r="A14" s="2" t="s">
        <v>14</v>
      </c>
      <c r="B14" s="3">
        <v>44967</v>
      </c>
      <c r="C14" s="7">
        <v>20000000</v>
      </c>
      <c r="D14" s="7">
        <v>90000000</v>
      </c>
      <c r="E14" s="7">
        <v>110000000</v>
      </c>
      <c r="F14" s="9">
        <v>7.2700000000000001E-2</v>
      </c>
    </row>
    <row r="15" spans="1:8" x14ac:dyDescent="0.2">
      <c r="A15" s="2" t="s">
        <v>18</v>
      </c>
      <c r="B15" s="3">
        <v>45748</v>
      </c>
      <c r="C15" s="7">
        <v>0</v>
      </c>
      <c r="D15" s="7">
        <v>200000000</v>
      </c>
      <c r="E15" s="7">
        <v>200000000</v>
      </c>
      <c r="F15" s="9">
        <v>3.5299999999999998E-2</v>
      </c>
    </row>
    <row r="17" spans="1:1" x14ac:dyDescent="0.2">
      <c r="A17" s="4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selection activeCell="G28" sqref="G28"/>
    </sheetView>
  </sheetViews>
  <sheetFormatPr baseColWidth="10" defaultColWidth="8.6640625" defaultRowHeight="15" x14ac:dyDescent="0.2"/>
  <cols>
    <col min="1" max="1" width="17.1640625" bestFit="1" customWidth="1"/>
    <col min="2" max="2" width="16" customWidth="1"/>
    <col min="3" max="5" width="14" customWidth="1"/>
    <col min="6" max="7" width="12" customWidth="1"/>
  </cols>
  <sheetData>
    <row r="1" spans="1:7" x14ac:dyDescent="0.2">
      <c r="A1" s="1" t="s">
        <v>1</v>
      </c>
      <c r="B1" s="1" t="s">
        <v>0</v>
      </c>
      <c r="C1" s="1" t="s">
        <v>4</v>
      </c>
      <c r="D1" s="1" t="s">
        <v>3</v>
      </c>
      <c r="E1" s="1" t="s">
        <v>2</v>
      </c>
      <c r="F1" s="1" t="s">
        <v>5</v>
      </c>
      <c r="G1" s="1" t="s">
        <v>6</v>
      </c>
    </row>
    <row r="2" spans="1:7" x14ac:dyDescent="0.2">
      <c r="A2" s="3">
        <v>44571</v>
      </c>
      <c r="B2" s="2" t="s">
        <v>21</v>
      </c>
      <c r="C2" s="7"/>
      <c r="D2" s="7"/>
      <c r="E2" s="7">
        <v>750000</v>
      </c>
      <c r="G2" s="12"/>
    </row>
    <row r="3" spans="1:7" x14ac:dyDescent="0.2">
      <c r="A3" s="3">
        <v>44839</v>
      </c>
      <c r="B3" s="2" t="s">
        <v>9</v>
      </c>
      <c r="C3" s="7">
        <v>9500000</v>
      </c>
      <c r="D3" s="7">
        <v>7000000</v>
      </c>
      <c r="E3" s="7">
        <v>2500000</v>
      </c>
      <c r="F3" s="14">
        <v>1.1499999999999999</v>
      </c>
      <c r="G3" s="12">
        <v>0.26300000000000001</v>
      </c>
    </row>
    <row r="4" spans="1:7" x14ac:dyDescent="0.2">
      <c r="A4" s="3">
        <v>45261</v>
      </c>
      <c r="B4" s="2" t="s">
        <v>10</v>
      </c>
      <c r="C4" s="7">
        <v>34000000</v>
      </c>
      <c r="D4" s="7">
        <v>26000000</v>
      </c>
      <c r="E4" s="7">
        <v>8000000</v>
      </c>
      <c r="F4" s="14">
        <v>2.9</v>
      </c>
      <c r="G4" s="12">
        <v>0.23499999999999999</v>
      </c>
    </row>
    <row r="5" spans="1:7" x14ac:dyDescent="0.2">
      <c r="A5" s="3">
        <v>45826</v>
      </c>
      <c r="B5" s="2" t="s">
        <v>14</v>
      </c>
      <c r="C5" s="7">
        <v>92000000</v>
      </c>
      <c r="D5" s="7">
        <v>70000000</v>
      </c>
      <c r="E5" s="7">
        <v>22000000</v>
      </c>
      <c r="F5" s="14">
        <v>6.1</v>
      </c>
      <c r="G5" s="12">
        <v>0.23899999999999999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selection activeCell="F21" sqref="F21"/>
    </sheetView>
  </sheetViews>
  <sheetFormatPr baseColWidth="10" defaultColWidth="8.6640625" defaultRowHeight="15" x14ac:dyDescent="0.2"/>
  <cols>
    <col min="1" max="1" width="16" customWidth="1"/>
    <col min="2" max="2" width="17.1640625" bestFit="1" customWidth="1"/>
    <col min="3" max="5" width="14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s="2" t="s">
        <v>22</v>
      </c>
      <c r="B2" s="3">
        <v>44228</v>
      </c>
      <c r="C2" s="7">
        <v>400</v>
      </c>
      <c r="D2" s="7"/>
      <c r="E2" s="7"/>
    </row>
    <row r="3" spans="1:6" x14ac:dyDescent="0.2">
      <c r="A3" s="2" t="s">
        <v>23</v>
      </c>
      <c r="B3" s="3">
        <v>44453</v>
      </c>
      <c r="C3" s="7">
        <v>600</v>
      </c>
      <c r="D3" s="7"/>
      <c r="E3" s="7"/>
    </row>
    <row r="4" spans="1:6" x14ac:dyDescent="0.2">
      <c r="A4" s="2" t="s">
        <v>9</v>
      </c>
      <c r="B4" s="3">
        <v>44670</v>
      </c>
      <c r="C4" s="7">
        <v>4200</v>
      </c>
      <c r="D4" s="7">
        <v>14000</v>
      </c>
      <c r="E4" s="7">
        <v>18200</v>
      </c>
      <c r="F4" s="9">
        <v>0.23080000000000001</v>
      </c>
    </row>
    <row r="5" spans="1:6" x14ac:dyDescent="0.2">
      <c r="A5" s="2" t="s">
        <v>10</v>
      </c>
      <c r="B5" s="3">
        <v>45233</v>
      </c>
      <c r="C5" s="7">
        <v>15000</v>
      </c>
      <c r="D5" s="7">
        <v>60000</v>
      </c>
      <c r="E5" s="7">
        <v>75000</v>
      </c>
      <c r="F5" s="9">
        <v>0.2</v>
      </c>
    </row>
    <row r="6" spans="1:6" x14ac:dyDescent="0.2">
      <c r="A6" s="2" t="s">
        <v>14</v>
      </c>
      <c r="B6" s="3">
        <v>45724</v>
      </c>
      <c r="C6" s="7">
        <v>-22000</v>
      </c>
      <c r="D6" s="7">
        <v>150000</v>
      </c>
      <c r="E6" s="7">
        <v>172000</v>
      </c>
      <c r="F6" s="9">
        <v>0.12790000000000001</v>
      </c>
    </row>
    <row r="7" spans="1:6" x14ac:dyDescent="0.2">
      <c r="F7" s="9"/>
    </row>
    <row r="8" spans="1:6" x14ac:dyDescent="0.2">
      <c r="A8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>
      <selection activeCell="I27" sqref="I27"/>
    </sheetView>
  </sheetViews>
  <sheetFormatPr baseColWidth="10" defaultColWidth="8.6640625" defaultRowHeight="15" x14ac:dyDescent="0.2"/>
  <cols>
    <col min="1" max="1" width="14" customWidth="1"/>
    <col min="2" max="2" width="17.1640625" bestFit="1" customWidth="1"/>
    <col min="3" max="5" width="14" customWidth="1"/>
    <col min="6" max="6" width="16" customWidth="1"/>
    <col min="7" max="7" width="1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6</v>
      </c>
    </row>
    <row r="2" spans="1:7" x14ac:dyDescent="0.2">
      <c r="A2" s="2" t="s">
        <v>9</v>
      </c>
      <c r="B2" s="3">
        <v>44319</v>
      </c>
      <c r="C2" s="7">
        <v>3000000</v>
      </c>
      <c r="D2" s="7">
        <v>8000000</v>
      </c>
      <c r="E2" s="7">
        <v>11000000</v>
      </c>
      <c r="F2" s="11">
        <v>11000000</v>
      </c>
      <c r="G2" s="9">
        <f>F2/F2</f>
        <v>1</v>
      </c>
    </row>
    <row r="3" spans="1:7" x14ac:dyDescent="0.2">
      <c r="A3" s="2" t="s">
        <v>10</v>
      </c>
      <c r="B3" s="3">
        <v>44726</v>
      </c>
      <c r="C3" s="7">
        <v>9000000</v>
      </c>
      <c r="D3" s="7">
        <v>35000000</v>
      </c>
      <c r="E3" s="7">
        <v>44000000</v>
      </c>
      <c r="F3" s="11">
        <v>0</v>
      </c>
      <c r="G3" s="9" t="e">
        <f>F2/F3</f>
        <v>#DIV/0!</v>
      </c>
    </row>
    <row r="4" spans="1:7" x14ac:dyDescent="0.2">
      <c r="A4" s="2" t="s">
        <v>10</v>
      </c>
      <c r="B4" s="3">
        <v>44726</v>
      </c>
      <c r="C4" s="7">
        <v>9500000</v>
      </c>
      <c r="D4" s="7">
        <v>35000000</v>
      </c>
      <c r="E4" s="7">
        <v>44500000</v>
      </c>
      <c r="F4" s="11">
        <v>15200000</v>
      </c>
      <c r="G4" s="9">
        <f>F2/F4</f>
        <v>0.72368421052631582</v>
      </c>
    </row>
    <row r="5" spans="1:7" x14ac:dyDescent="0.2">
      <c r="A5" s="2" t="s">
        <v>14</v>
      </c>
      <c r="B5" s="3">
        <v>45311</v>
      </c>
      <c r="C5" s="7">
        <v>20000000</v>
      </c>
      <c r="D5" s="7">
        <v>90000000</v>
      </c>
      <c r="E5" s="7">
        <v>110000000</v>
      </c>
      <c r="F5" s="11">
        <v>0</v>
      </c>
      <c r="G5" s="9" t="e">
        <f>F2/F5</f>
        <v>#DIV/0!</v>
      </c>
    </row>
    <row r="7" spans="1:7" x14ac:dyDescent="0.2">
      <c r="A7" s="4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tabSelected="1" zoomScaleNormal="100" workbookViewId="0">
      <selection activeCell="C27" sqref="C27"/>
    </sheetView>
  </sheetViews>
  <sheetFormatPr baseColWidth="10" defaultColWidth="8.6640625" defaultRowHeight="15" x14ac:dyDescent="0.2"/>
  <cols>
    <col min="1" max="1" width="100" customWidth="1"/>
  </cols>
  <sheetData>
    <row r="1" spans="1:1" x14ac:dyDescent="0.2">
      <c r="A1" s="5" t="s">
        <v>26</v>
      </c>
    </row>
    <row r="2" spans="1:1" x14ac:dyDescent="0.2">
      <c r="A2" s="2"/>
    </row>
    <row r="3" spans="1:1" x14ac:dyDescent="0.2">
      <c r="A3" s="6" t="s">
        <v>27</v>
      </c>
    </row>
    <row r="4" spans="1:1" x14ac:dyDescent="0.2">
      <c r="A4" s="6" t="s">
        <v>28</v>
      </c>
    </row>
    <row r="5" spans="1:1" x14ac:dyDescent="0.2">
      <c r="A5" s="6" t="s">
        <v>29</v>
      </c>
    </row>
    <row r="6" spans="1:1" x14ac:dyDescent="0.2">
      <c r="A6" s="6" t="s">
        <v>30</v>
      </c>
    </row>
    <row r="7" spans="1:1" x14ac:dyDescent="0.2">
      <c r="A7" s="6" t="s">
        <v>31</v>
      </c>
    </row>
    <row r="8" spans="1:1" x14ac:dyDescent="0.2">
      <c r="A8" s="6" t="s">
        <v>32</v>
      </c>
    </row>
    <row r="9" spans="1:1" x14ac:dyDescent="0.2">
      <c r="A9" s="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Nimbus Robotics</vt:lpstr>
      <vt:lpstr>Verdant Bio</vt:lpstr>
      <vt:lpstr>Fathom Analytics</vt:lpstr>
      <vt:lpstr>Ridgeline Materials</vt:lpstr>
      <vt:lpstr>Halcyon Health</vt:lpstr>
      <vt:lpstr>Portfolio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Esha Patel</cp:lastModifiedBy>
  <cp:revision>0</cp:revision>
  <dcterms:created xsi:type="dcterms:W3CDTF">2026-07-30T14:57:59Z</dcterms:created>
  <dcterms:modified xsi:type="dcterms:W3CDTF">2026-07-30T17:27:49Z</dcterms:modified>
  <dc:language>en-US</dc:language>
</cp:coreProperties>
</file>